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jduPe\helmet-data-preprocessing\generation\"/>
    </mc:Choice>
  </mc:AlternateContent>
  <xr:revisionPtr revIDLastSave="0" documentId="13_ncr:9_{80A0BB36-9F4C-4E9B-9282-20CA1B377689}" xr6:coauthVersionLast="47" xr6:coauthVersionMax="47" xr10:uidLastSave="{00000000-0000-0000-0000-000000000000}"/>
  <bookViews>
    <workbookView xWindow="0" yWindow="0" windowWidth="25800" windowHeight="21000" activeTab="1" xr2:uid="{F36E6459-6B50-4C03-B68F-41BF717CC714}"/>
  </bookViews>
  <sheets>
    <sheet name="generation-metropolitan" sheetId="1" r:id="rId1"/>
    <sheet name="Taul1" sheetId="2" r:id="rId2"/>
  </sheets>
  <calcPr calcId="0"/>
</workbook>
</file>

<file path=xl/calcChain.xml><?xml version="1.0" encoding="utf-8"?>
<calcChain xmlns="http://schemas.openxmlformats.org/spreadsheetml/2006/main">
  <c r="D7" i="2" l="1"/>
  <c r="D8" i="2"/>
  <c r="C7" i="2"/>
  <c r="C8" i="2"/>
  <c r="B8" i="2"/>
  <c r="B7" i="2"/>
  <c r="D3" i="2"/>
  <c r="D4" i="2"/>
  <c r="D5" i="2"/>
  <c r="D6" i="2"/>
  <c r="D2" i="2"/>
  <c r="C4" i="2"/>
  <c r="C5" i="2"/>
  <c r="C6" i="2"/>
  <c r="B6" i="2"/>
  <c r="B5" i="2"/>
  <c r="B4" i="2"/>
  <c r="C2" i="2"/>
  <c r="B2" i="2"/>
  <c r="B3" i="2"/>
  <c r="C3" i="2"/>
</calcChain>
</file>

<file path=xl/sharedStrings.xml><?xml version="1.0" encoding="utf-8"?>
<sst xmlns="http://schemas.openxmlformats.org/spreadsheetml/2006/main" count="71" uniqueCount="18">
  <si>
    <t>model_type</t>
  </si>
  <si>
    <t>age_group</t>
  </si>
  <si>
    <t>car_user</t>
  </si>
  <si>
    <t>n</t>
  </si>
  <si>
    <t>weight</t>
  </si>
  <si>
    <t>xfactor</t>
  </si>
  <si>
    <t>weight_per_person</t>
  </si>
  <si>
    <t>hc</t>
  </si>
  <si>
    <t>ho</t>
  </si>
  <si>
    <t>hs</t>
  </si>
  <si>
    <t>hu</t>
  </si>
  <si>
    <t>hw</t>
  </si>
  <si>
    <t>oo</t>
  </si>
  <si>
    <t>wo</t>
  </si>
  <si>
    <t>model</t>
  </si>
  <si>
    <t>tot_weight</t>
  </si>
  <si>
    <t>tot_xfactor</t>
  </si>
  <si>
    <t>weight_per_capita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</si>
</sst>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sentti1" xfId="19" builtinId="30" customBuiltin="1"/>
    <cellStyle name="20 % - Aksentti2" xfId="23" builtinId="34" customBuiltin="1"/>
    <cellStyle name="20 % - Aksentti3" xfId="27" builtinId="38" customBuiltin="1"/>
    <cellStyle name="20 % - Aksentti4" xfId="31" builtinId="42" customBuiltin="1"/>
    <cellStyle name="20 % - Aksentti5" xfId="35" builtinId="46" customBuiltin="1"/>
    <cellStyle name="20 % - Aksentti6" xfId="39" builtinId="50" customBuiltin="1"/>
    <cellStyle name="40 % - Aksentti1" xfId="20" builtinId="31" customBuiltin="1"/>
    <cellStyle name="40 % - Aksentti2" xfId="24" builtinId="35" customBuiltin="1"/>
    <cellStyle name="40 % - Aksentti3" xfId="28" builtinId="39" customBuiltin="1"/>
    <cellStyle name="40 % - Aksentti4" xfId="32" builtinId="43" customBuiltin="1"/>
    <cellStyle name="40 % - Aksentti5" xfId="36" builtinId="47" customBuiltin="1"/>
    <cellStyle name="40 % - Aksentti6" xfId="40" builtinId="51" customBuiltin="1"/>
    <cellStyle name="60 % - Aksentti1" xfId="21" builtinId="32" customBuiltin="1"/>
    <cellStyle name="60 % - Aksentti2" xfId="25" builtinId="36" customBuiltin="1"/>
    <cellStyle name="60 % - Aksentti3" xfId="29" builtinId="40" customBuiltin="1"/>
    <cellStyle name="60 % - Aksentti4" xfId="33" builtinId="44" customBuiltin="1"/>
    <cellStyle name="60 % - Aksentti5" xfId="37" builtinId="48" customBuiltin="1"/>
    <cellStyle name="60 % - Aksentti6" xfId="41" builtinId="52" customBuiltin="1"/>
    <cellStyle name="Aksentti1" xfId="18" builtinId="29" customBuiltin="1"/>
    <cellStyle name="Aksentti2" xfId="22" builtinId="33" customBuiltin="1"/>
    <cellStyle name="Aksentti3" xfId="26" builtinId="37" customBuiltin="1"/>
    <cellStyle name="Aksentti4" xfId="30" builtinId="41" customBuiltin="1"/>
    <cellStyle name="Aksentti5" xfId="34" builtinId="45" customBuiltin="1"/>
    <cellStyle name="Aksentti6" xfId="38" builtinId="49" customBuiltin="1"/>
    <cellStyle name="Huomautus" xfId="15" builtinId="10" customBuiltin="1"/>
    <cellStyle name="Huono" xfId="7" builtinId="27" customBuiltin="1"/>
    <cellStyle name="Hyvä" xfId="6" builtinId="26" customBuiltin="1"/>
    <cellStyle name="Laskenta" xfId="11" builtinId="22" customBuiltin="1"/>
    <cellStyle name="Linkitetty solu" xfId="12" builtinId="24" customBuiltin="1"/>
    <cellStyle name="Neutraali" xfId="8" builtinId="28" customBuiltin="1"/>
    <cellStyle name="Normaali" xfId="0" builtinId="0"/>
    <cellStyle name="Otsikko" xfId="1" builtinId="15" customBuiltin="1"/>
    <cellStyle name="Otsikko 1" xfId="2" builtinId="16" customBuiltin="1"/>
    <cellStyle name="Otsikko 2" xfId="3" builtinId="17" customBuiltin="1"/>
    <cellStyle name="Otsikko 3" xfId="4" builtinId="18" customBuiltin="1"/>
    <cellStyle name="Otsikko 4" xfId="5" builtinId="19" customBuiltin="1"/>
    <cellStyle name="Selittävä teksti" xfId="16" builtinId="53" customBuiltin="1"/>
    <cellStyle name="Summa" xfId="17" builtinId="25" customBuiltin="1"/>
    <cellStyle name="Syöttö" xfId="9" builtinId="20" customBuiltin="1"/>
    <cellStyle name="Tarkistussolu" xfId="13" builtinId="23" customBuiltin="1"/>
    <cellStyle name="Tulostus" xfId="10" builtinId="21" customBuiltin="1"/>
    <cellStyle name="Varoitusteksti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CEA1B-FC05-4A10-A62C-8C486D66161E}">
  <dimension ref="A1:G54"/>
  <sheetViews>
    <sheetView topLeftCell="A19" workbookViewId="0">
      <selection activeCell="E38" sqref="E3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>
        <v>0</v>
      </c>
      <c r="D2">
        <v>990</v>
      </c>
      <c r="E2">
        <v>175172.76932841001</v>
      </c>
      <c r="F2">
        <v>194132.24961818699</v>
      </c>
      <c r="G2">
        <v>0.90233729672908203</v>
      </c>
    </row>
    <row r="3" spans="1:7" x14ac:dyDescent="0.25">
      <c r="A3" t="s">
        <v>8</v>
      </c>
      <c r="B3">
        <v>1</v>
      </c>
      <c r="C3">
        <v>0</v>
      </c>
      <c r="D3">
        <v>489</v>
      </c>
      <c r="E3">
        <v>87558.156143291199</v>
      </c>
      <c r="F3">
        <v>194132.24961818699</v>
      </c>
      <c r="G3">
        <v>0.45102323964976299</v>
      </c>
    </row>
    <row r="4" spans="1:7" x14ac:dyDescent="0.25">
      <c r="A4" t="s">
        <v>8</v>
      </c>
      <c r="B4">
        <v>2</v>
      </c>
      <c r="C4">
        <v>0</v>
      </c>
      <c r="D4">
        <v>91</v>
      </c>
      <c r="E4">
        <v>32554.028931654</v>
      </c>
      <c r="F4">
        <v>146395.30105334899</v>
      </c>
      <c r="G4">
        <v>0.22237072294957599</v>
      </c>
    </row>
    <row r="5" spans="1:7" x14ac:dyDescent="0.25">
      <c r="A5" t="s">
        <v>8</v>
      </c>
      <c r="B5">
        <v>2</v>
      </c>
      <c r="C5">
        <v>1</v>
      </c>
      <c r="D5">
        <v>107</v>
      </c>
      <c r="E5">
        <v>23342.327285734798</v>
      </c>
      <c r="F5">
        <v>94821.160256175004</v>
      </c>
      <c r="G5">
        <v>0.246172133125894</v>
      </c>
    </row>
    <row r="6" spans="1:7" x14ac:dyDescent="0.25">
      <c r="A6" t="s">
        <v>8</v>
      </c>
      <c r="B6">
        <v>3</v>
      </c>
      <c r="C6">
        <v>0</v>
      </c>
      <c r="D6">
        <v>146</v>
      </c>
      <c r="E6">
        <v>35650.038761485099</v>
      </c>
      <c r="F6">
        <v>157283.32912887301</v>
      </c>
      <c r="G6">
        <v>0.226661267655866</v>
      </c>
    </row>
    <row r="7" spans="1:7" x14ac:dyDescent="0.25">
      <c r="A7" t="s">
        <v>8</v>
      </c>
      <c r="B7">
        <v>3</v>
      </c>
      <c r="C7">
        <v>1</v>
      </c>
      <c r="D7">
        <v>513</v>
      </c>
      <c r="E7">
        <v>98135.719989119403</v>
      </c>
      <c r="F7">
        <v>308243.93085979699</v>
      </c>
      <c r="G7">
        <v>0.31837032351419098</v>
      </c>
    </row>
    <row r="8" spans="1:7" x14ac:dyDescent="0.25">
      <c r="A8" t="s">
        <v>8</v>
      </c>
      <c r="B8">
        <v>4</v>
      </c>
      <c r="C8">
        <v>0</v>
      </c>
      <c r="D8">
        <v>103</v>
      </c>
      <c r="E8">
        <v>17685.957306230299</v>
      </c>
      <c r="F8">
        <v>75218.134275824705</v>
      </c>
      <c r="G8">
        <v>0.23512890178020099</v>
      </c>
    </row>
    <row r="9" spans="1:7" x14ac:dyDescent="0.25">
      <c r="A9" t="s">
        <v>8</v>
      </c>
      <c r="B9">
        <v>4</v>
      </c>
      <c r="C9">
        <v>1</v>
      </c>
      <c r="D9">
        <v>613</v>
      </c>
      <c r="E9">
        <v>76081.576382972198</v>
      </c>
      <c r="F9">
        <v>222159.600817834</v>
      </c>
      <c r="G9">
        <v>0.34246359870513698</v>
      </c>
    </row>
    <row r="10" spans="1:7" x14ac:dyDescent="0.25">
      <c r="A10" t="s">
        <v>8</v>
      </c>
      <c r="B10">
        <v>5</v>
      </c>
      <c r="C10">
        <v>0</v>
      </c>
      <c r="D10">
        <v>279</v>
      </c>
      <c r="E10">
        <v>38431.890705727601</v>
      </c>
      <c r="F10">
        <v>101390.319004598</v>
      </c>
      <c r="G10">
        <v>0.37904891791478401</v>
      </c>
    </row>
    <row r="11" spans="1:7" x14ac:dyDescent="0.25">
      <c r="A11" t="s">
        <v>8</v>
      </c>
      <c r="B11">
        <v>5</v>
      </c>
      <c r="C11">
        <v>1</v>
      </c>
      <c r="D11">
        <v>952</v>
      </c>
      <c r="E11">
        <v>74328.958736225497</v>
      </c>
      <c r="F11">
        <v>174204.967444473</v>
      </c>
      <c r="G11">
        <v>0.42667531142541798</v>
      </c>
    </row>
    <row r="12" spans="1:7" x14ac:dyDescent="0.25">
      <c r="A12" t="s">
        <v>9</v>
      </c>
      <c r="B12">
        <v>1</v>
      </c>
      <c r="C12">
        <v>0</v>
      </c>
      <c r="D12">
        <v>100</v>
      </c>
      <c r="E12">
        <v>13913.689391481201</v>
      </c>
      <c r="F12">
        <v>194132.24961818699</v>
      </c>
      <c r="G12">
        <v>7.1671190226488393E-2</v>
      </c>
    </row>
    <row r="13" spans="1:7" x14ac:dyDescent="0.25">
      <c r="A13" t="s">
        <v>9</v>
      </c>
      <c r="B13">
        <v>2</v>
      </c>
      <c r="C13">
        <v>0</v>
      </c>
      <c r="D13">
        <v>83</v>
      </c>
      <c r="E13">
        <v>33397.649578890698</v>
      </c>
      <c r="F13">
        <v>146395.30105334899</v>
      </c>
      <c r="G13">
        <v>0.228133344025298</v>
      </c>
    </row>
    <row r="14" spans="1:7" x14ac:dyDescent="0.25">
      <c r="A14" t="s">
        <v>9</v>
      </c>
      <c r="B14">
        <v>2</v>
      </c>
      <c r="C14">
        <v>1</v>
      </c>
      <c r="D14">
        <v>93</v>
      </c>
      <c r="E14">
        <v>23152.011808928899</v>
      </c>
      <c r="F14">
        <v>94821.160256175004</v>
      </c>
      <c r="G14">
        <v>0.244165033905722</v>
      </c>
    </row>
    <row r="15" spans="1:7" x14ac:dyDescent="0.25">
      <c r="A15" t="s">
        <v>9</v>
      </c>
      <c r="B15">
        <v>3</v>
      </c>
      <c r="C15">
        <v>0</v>
      </c>
      <c r="D15">
        <v>200</v>
      </c>
      <c r="E15">
        <v>51714.702603068501</v>
      </c>
      <c r="F15">
        <v>157283.32912887301</v>
      </c>
      <c r="G15">
        <v>0.328799643862416</v>
      </c>
    </row>
    <row r="16" spans="1:7" x14ac:dyDescent="0.25">
      <c r="A16" t="s">
        <v>9</v>
      </c>
      <c r="B16">
        <v>3</v>
      </c>
      <c r="C16">
        <v>1</v>
      </c>
      <c r="D16">
        <v>696</v>
      </c>
      <c r="E16">
        <v>133233.06629033</v>
      </c>
      <c r="F16">
        <v>308243.93085979699</v>
      </c>
      <c r="G16">
        <v>0.43223256957143602</v>
      </c>
    </row>
    <row r="17" spans="1:7" x14ac:dyDescent="0.25">
      <c r="A17" t="s">
        <v>9</v>
      </c>
      <c r="B17">
        <v>4</v>
      </c>
      <c r="C17">
        <v>0</v>
      </c>
      <c r="D17">
        <v>107</v>
      </c>
      <c r="E17">
        <v>16833.456420582301</v>
      </c>
      <c r="F17">
        <v>75218.134275824705</v>
      </c>
      <c r="G17">
        <v>0.22379518692731901</v>
      </c>
    </row>
    <row r="18" spans="1:7" x14ac:dyDescent="0.25">
      <c r="A18" t="s">
        <v>9</v>
      </c>
      <c r="B18">
        <v>4</v>
      </c>
      <c r="C18">
        <v>1</v>
      </c>
      <c r="D18">
        <v>460</v>
      </c>
      <c r="E18">
        <v>57178.506549360798</v>
      </c>
      <c r="F18">
        <v>222159.600817834</v>
      </c>
      <c r="G18">
        <v>0.25737580702733498</v>
      </c>
    </row>
    <row r="19" spans="1:7" x14ac:dyDescent="0.25">
      <c r="A19" t="s">
        <v>9</v>
      </c>
      <c r="B19">
        <v>5</v>
      </c>
      <c r="C19">
        <v>0</v>
      </c>
      <c r="D19">
        <v>409</v>
      </c>
      <c r="E19">
        <v>48729.832946911098</v>
      </c>
      <c r="F19">
        <v>101390.319004598</v>
      </c>
      <c r="G19">
        <v>0.48061623067485598</v>
      </c>
    </row>
    <row r="20" spans="1:7" x14ac:dyDescent="0.25">
      <c r="A20" t="s">
        <v>9</v>
      </c>
      <c r="B20">
        <v>5</v>
      </c>
      <c r="C20">
        <v>1</v>
      </c>
      <c r="D20">
        <v>1052</v>
      </c>
      <c r="E20">
        <v>89368.109569947002</v>
      </c>
      <c r="F20">
        <v>174204.967444473</v>
      </c>
      <c r="G20">
        <v>0.51300551804547501</v>
      </c>
    </row>
    <row r="21" spans="1:7" x14ac:dyDescent="0.25">
      <c r="A21" t="s">
        <v>10</v>
      </c>
      <c r="B21">
        <v>2</v>
      </c>
      <c r="C21">
        <v>0</v>
      </c>
      <c r="D21">
        <v>98</v>
      </c>
      <c r="E21">
        <v>37303.041070444298</v>
      </c>
      <c r="F21">
        <v>146395.30105334899</v>
      </c>
      <c r="G21">
        <v>0.25481037165838</v>
      </c>
    </row>
    <row r="22" spans="1:7" x14ac:dyDescent="0.25">
      <c r="A22" t="s">
        <v>10</v>
      </c>
      <c r="B22">
        <v>2</v>
      </c>
      <c r="C22">
        <v>1</v>
      </c>
      <c r="D22">
        <v>31</v>
      </c>
      <c r="E22">
        <v>10542.862176737401</v>
      </c>
      <c r="F22">
        <v>94821.160256175004</v>
      </c>
      <c r="G22">
        <v>0.111186808390175</v>
      </c>
    </row>
    <row r="23" spans="1:7" x14ac:dyDescent="0.25">
      <c r="A23" t="s">
        <v>10</v>
      </c>
      <c r="B23">
        <v>3</v>
      </c>
      <c r="C23">
        <v>0</v>
      </c>
      <c r="D23">
        <v>18</v>
      </c>
      <c r="E23">
        <v>5977.2854639194102</v>
      </c>
      <c r="F23">
        <v>157283.32912887301</v>
      </c>
      <c r="G23">
        <v>3.80032995043093E-2</v>
      </c>
    </row>
    <row r="24" spans="1:7" x14ac:dyDescent="0.25">
      <c r="A24" t="s">
        <v>10</v>
      </c>
      <c r="B24">
        <v>3</v>
      </c>
      <c r="C24">
        <v>1</v>
      </c>
      <c r="D24">
        <v>20</v>
      </c>
      <c r="E24">
        <v>4090.6886315269098</v>
      </c>
      <c r="F24">
        <v>308243.93085979699</v>
      </c>
      <c r="G24">
        <v>1.32709462279325E-2</v>
      </c>
    </row>
    <row r="25" spans="1:7" x14ac:dyDescent="0.25">
      <c r="A25" t="s">
        <v>10</v>
      </c>
      <c r="B25">
        <v>4</v>
      </c>
      <c r="C25">
        <v>0</v>
      </c>
      <c r="D25">
        <v>5</v>
      </c>
      <c r="E25">
        <v>691.69314526192102</v>
      </c>
      <c r="F25">
        <v>75218.134275824705</v>
      </c>
      <c r="G25">
        <v>9.1958295951011498E-3</v>
      </c>
    </row>
    <row r="26" spans="1:7" x14ac:dyDescent="0.25">
      <c r="A26" t="s">
        <v>10</v>
      </c>
      <c r="B26">
        <v>4</v>
      </c>
      <c r="C26">
        <v>1</v>
      </c>
      <c r="D26">
        <v>8</v>
      </c>
      <c r="E26">
        <v>1114.94235002196</v>
      </c>
      <c r="F26">
        <v>222159.600817834</v>
      </c>
      <c r="G26">
        <v>5.0186548135553602E-3</v>
      </c>
    </row>
    <row r="27" spans="1:7" x14ac:dyDescent="0.25">
      <c r="A27" t="s">
        <v>10</v>
      </c>
      <c r="B27">
        <v>5</v>
      </c>
      <c r="C27">
        <v>0</v>
      </c>
      <c r="D27">
        <v>1</v>
      </c>
      <c r="E27">
        <v>212.68421052631601</v>
      </c>
      <c r="F27">
        <v>101390.319004598</v>
      </c>
      <c r="G27">
        <v>2.09767769363336E-3</v>
      </c>
    </row>
    <row r="28" spans="1:7" x14ac:dyDescent="0.25">
      <c r="A28" t="s">
        <v>10</v>
      </c>
      <c r="B28">
        <v>5</v>
      </c>
      <c r="C28">
        <v>1</v>
      </c>
      <c r="D28">
        <v>11</v>
      </c>
      <c r="E28">
        <v>1370.68892256407</v>
      </c>
      <c r="F28">
        <v>174204.967444473</v>
      </c>
      <c r="G28">
        <v>7.8682539463231192E-3</v>
      </c>
    </row>
    <row r="29" spans="1:7" x14ac:dyDescent="0.25">
      <c r="A29" t="s">
        <v>11</v>
      </c>
      <c r="B29">
        <v>1</v>
      </c>
      <c r="C29">
        <v>0</v>
      </c>
      <c r="D29">
        <v>60</v>
      </c>
      <c r="E29">
        <v>9871.9266782828909</v>
      </c>
      <c r="F29">
        <v>194132.24961818699</v>
      </c>
      <c r="G29">
        <v>5.08515545340801E-2</v>
      </c>
    </row>
    <row r="30" spans="1:7" x14ac:dyDescent="0.25">
      <c r="A30" t="s">
        <v>11</v>
      </c>
      <c r="B30">
        <v>2</v>
      </c>
      <c r="C30">
        <v>0</v>
      </c>
      <c r="D30">
        <v>117</v>
      </c>
      <c r="E30">
        <v>52323.555664495303</v>
      </c>
      <c r="F30">
        <v>146395.30105334899</v>
      </c>
      <c r="G30">
        <v>0.35741280825282601</v>
      </c>
    </row>
    <row r="31" spans="1:7" x14ac:dyDescent="0.25">
      <c r="A31" t="s">
        <v>11</v>
      </c>
      <c r="B31">
        <v>2</v>
      </c>
      <c r="C31">
        <v>1</v>
      </c>
      <c r="D31">
        <v>169</v>
      </c>
      <c r="E31">
        <v>43467.717717241299</v>
      </c>
      <c r="F31">
        <v>94821.160256175004</v>
      </c>
      <c r="G31">
        <v>0.45841790587466003</v>
      </c>
    </row>
    <row r="32" spans="1:7" x14ac:dyDescent="0.25">
      <c r="A32" t="s">
        <v>11</v>
      </c>
      <c r="B32">
        <v>3</v>
      </c>
      <c r="C32">
        <v>0</v>
      </c>
      <c r="D32">
        <v>261</v>
      </c>
      <c r="E32">
        <v>79306.231412836802</v>
      </c>
      <c r="F32">
        <v>157283.32912887301</v>
      </c>
      <c r="G32">
        <v>0.50422528472713002</v>
      </c>
    </row>
    <row r="33" spans="1:7" x14ac:dyDescent="0.25">
      <c r="A33" t="s">
        <v>11</v>
      </c>
      <c r="B33">
        <v>3</v>
      </c>
      <c r="C33">
        <v>1</v>
      </c>
      <c r="D33">
        <v>969</v>
      </c>
      <c r="E33">
        <v>175224.957168225</v>
      </c>
      <c r="F33">
        <v>308243.93085979699</v>
      </c>
      <c r="G33">
        <v>0.56846198619211297</v>
      </c>
    </row>
    <row r="34" spans="1:7" x14ac:dyDescent="0.25">
      <c r="A34" t="s">
        <v>11</v>
      </c>
      <c r="B34">
        <v>4</v>
      </c>
      <c r="C34">
        <v>0</v>
      </c>
      <c r="D34">
        <v>178</v>
      </c>
      <c r="E34">
        <v>36285.499471545903</v>
      </c>
      <c r="F34">
        <v>75218.134275824705</v>
      </c>
      <c r="G34">
        <v>0.482403609460548</v>
      </c>
    </row>
    <row r="35" spans="1:7" x14ac:dyDescent="0.25">
      <c r="A35" t="s">
        <v>11</v>
      </c>
      <c r="B35">
        <v>4</v>
      </c>
      <c r="C35">
        <v>1</v>
      </c>
      <c r="D35">
        <v>905</v>
      </c>
      <c r="E35">
        <v>116726.428423226</v>
      </c>
      <c r="F35">
        <v>222159.600817834</v>
      </c>
      <c r="G35">
        <v>0.52541698847819995</v>
      </c>
    </row>
    <row r="36" spans="1:7" x14ac:dyDescent="0.25">
      <c r="A36" t="s">
        <v>11</v>
      </c>
      <c r="B36">
        <v>5</v>
      </c>
      <c r="C36">
        <v>0</v>
      </c>
      <c r="D36">
        <v>18</v>
      </c>
      <c r="E36">
        <v>3563.6527441135099</v>
      </c>
      <c r="F36">
        <v>101390.319004598</v>
      </c>
      <c r="G36">
        <v>3.5147860062970201E-2</v>
      </c>
    </row>
    <row r="37" spans="1:7" x14ac:dyDescent="0.25">
      <c r="A37" t="s">
        <v>11</v>
      </c>
      <c r="B37">
        <v>5</v>
      </c>
      <c r="C37">
        <v>1</v>
      </c>
      <c r="D37">
        <v>95</v>
      </c>
      <c r="E37">
        <v>7394.6679892710599</v>
      </c>
      <c r="F37">
        <v>174204.967444473</v>
      </c>
      <c r="G37">
        <v>4.2448089154679597E-2</v>
      </c>
    </row>
    <row r="38" spans="1:7" x14ac:dyDescent="0.25">
      <c r="A38" t="s">
        <v>12</v>
      </c>
      <c r="B38">
        <v>1</v>
      </c>
      <c r="C38">
        <v>0</v>
      </c>
      <c r="D38">
        <v>88</v>
      </c>
      <c r="E38">
        <v>15014.168935806299</v>
      </c>
      <c r="F38">
        <v>194132.24961818699</v>
      </c>
      <c r="G38">
        <v>7.7339900842522E-2</v>
      </c>
    </row>
    <row r="39" spans="1:7" x14ac:dyDescent="0.25">
      <c r="A39" t="s">
        <v>12</v>
      </c>
      <c r="B39">
        <v>2</v>
      </c>
      <c r="C39">
        <v>0</v>
      </c>
      <c r="D39">
        <v>29</v>
      </c>
      <c r="E39">
        <v>9277.9934181682493</v>
      </c>
      <c r="F39">
        <v>146395.30105334899</v>
      </c>
      <c r="G39">
        <v>6.3376306147881104E-2</v>
      </c>
    </row>
    <row r="40" spans="1:7" x14ac:dyDescent="0.25">
      <c r="A40" t="s">
        <v>12</v>
      </c>
      <c r="B40">
        <v>2</v>
      </c>
      <c r="C40">
        <v>1</v>
      </c>
      <c r="D40">
        <v>17</v>
      </c>
      <c r="E40">
        <v>4376.7631580184498</v>
      </c>
      <c r="F40">
        <v>94821.160256175004</v>
      </c>
      <c r="G40">
        <v>4.6158084821931102E-2</v>
      </c>
    </row>
    <row r="41" spans="1:7" x14ac:dyDescent="0.25">
      <c r="A41" t="s">
        <v>12</v>
      </c>
      <c r="B41">
        <v>3</v>
      </c>
      <c r="C41">
        <v>0</v>
      </c>
      <c r="D41">
        <v>21</v>
      </c>
      <c r="E41">
        <v>6088.0271843273604</v>
      </c>
      <c r="F41">
        <v>157283.32912887301</v>
      </c>
      <c r="G41">
        <v>3.8707390147744401E-2</v>
      </c>
    </row>
    <row r="42" spans="1:7" x14ac:dyDescent="0.25">
      <c r="A42" t="s">
        <v>12</v>
      </c>
      <c r="B42">
        <v>3</v>
      </c>
      <c r="C42">
        <v>1</v>
      </c>
      <c r="D42">
        <v>46</v>
      </c>
      <c r="E42">
        <v>10389.484990122401</v>
      </c>
      <c r="F42">
        <v>308243.93085979699</v>
      </c>
      <c r="G42">
        <v>3.3705400009474799E-2</v>
      </c>
    </row>
    <row r="43" spans="1:7" x14ac:dyDescent="0.25">
      <c r="A43" t="s">
        <v>12</v>
      </c>
      <c r="B43">
        <v>4</v>
      </c>
      <c r="C43">
        <v>0</v>
      </c>
      <c r="D43">
        <v>18</v>
      </c>
      <c r="E43">
        <v>4033.7883103734598</v>
      </c>
      <c r="F43">
        <v>75218.134275824705</v>
      </c>
      <c r="G43">
        <v>5.3627869784453497E-2</v>
      </c>
    </row>
    <row r="44" spans="1:7" x14ac:dyDescent="0.25">
      <c r="A44" t="s">
        <v>12</v>
      </c>
      <c r="B44">
        <v>4</v>
      </c>
      <c r="C44">
        <v>1</v>
      </c>
      <c r="D44">
        <v>65</v>
      </c>
      <c r="E44">
        <v>6635.7357001690798</v>
      </c>
      <c r="F44">
        <v>222159.600817834</v>
      </c>
      <c r="G44">
        <v>2.9869227689197302E-2</v>
      </c>
    </row>
    <row r="45" spans="1:7" x14ac:dyDescent="0.25">
      <c r="A45" t="s">
        <v>12</v>
      </c>
      <c r="B45">
        <v>5</v>
      </c>
      <c r="C45">
        <v>0</v>
      </c>
      <c r="D45">
        <v>35</v>
      </c>
      <c r="E45">
        <v>5905.6388214598901</v>
      </c>
      <c r="F45">
        <v>101390.319004598</v>
      </c>
      <c r="G45">
        <v>5.8246575012670401E-2</v>
      </c>
    </row>
    <row r="46" spans="1:7" x14ac:dyDescent="0.25">
      <c r="A46" t="s">
        <v>12</v>
      </c>
      <c r="B46">
        <v>5</v>
      </c>
      <c r="C46">
        <v>1</v>
      </c>
      <c r="D46">
        <v>93</v>
      </c>
      <c r="E46">
        <v>7736.9382129628202</v>
      </c>
      <c r="F46">
        <v>174204.967444473</v>
      </c>
      <c r="G46">
        <v>4.4412844974865202E-2</v>
      </c>
    </row>
    <row r="47" spans="1:7" x14ac:dyDescent="0.25">
      <c r="A47" t="s">
        <v>13</v>
      </c>
      <c r="B47">
        <v>2</v>
      </c>
      <c r="C47">
        <v>0</v>
      </c>
      <c r="D47">
        <v>14</v>
      </c>
      <c r="E47">
        <v>6186.3641934448397</v>
      </c>
      <c r="F47">
        <v>146395.30105334899</v>
      </c>
      <c r="G47">
        <v>4.2257942358344097E-2</v>
      </c>
    </row>
    <row r="48" spans="1:7" x14ac:dyDescent="0.25">
      <c r="A48" t="s">
        <v>13</v>
      </c>
      <c r="B48">
        <v>2</v>
      </c>
      <c r="C48">
        <v>1</v>
      </c>
      <c r="D48">
        <v>21</v>
      </c>
      <c r="E48">
        <v>4940.6356213622503</v>
      </c>
      <c r="F48">
        <v>94821.160256175004</v>
      </c>
      <c r="G48">
        <v>5.2104779228753499E-2</v>
      </c>
    </row>
    <row r="49" spans="1:7" x14ac:dyDescent="0.25">
      <c r="A49" t="s">
        <v>13</v>
      </c>
      <c r="B49">
        <v>3</v>
      </c>
      <c r="C49">
        <v>0</v>
      </c>
      <c r="D49">
        <v>30</v>
      </c>
      <c r="E49">
        <v>8763.0942299153994</v>
      </c>
      <c r="F49">
        <v>157283.32912887301</v>
      </c>
      <c r="G49">
        <v>5.5715340452485003E-2</v>
      </c>
    </row>
    <row r="50" spans="1:7" x14ac:dyDescent="0.25">
      <c r="A50" t="s">
        <v>13</v>
      </c>
      <c r="B50">
        <v>3</v>
      </c>
      <c r="C50">
        <v>1</v>
      </c>
      <c r="D50">
        <v>122</v>
      </c>
      <c r="E50">
        <v>16122.092090407101</v>
      </c>
      <c r="F50">
        <v>308243.93085979699</v>
      </c>
      <c r="G50">
        <v>5.2303031710752998E-2</v>
      </c>
    </row>
    <row r="51" spans="1:7" x14ac:dyDescent="0.25">
      <c r="A51" t="s">
        <v>13</v>
      </c>
      <c r="B51">
        <v>4</v>
      </c>
      <c r="C51">
        <v>0</v>
      </c>
      <c r="D51">
        <v>13</v>
      </c>
      <c r="E51">
        <v>3868.8839809395599</v>
      </c>
      <c r="F51">
        <v>75218.134275824705</v>
      </c>
      <c r="G51">
        <v>5.1435521742036E-2</v>
      </c>
    </row>
    <row r="52" spans="1:7" x14ac:dyDescent="0.25">
      <c r="A52" t="s">
        <v>13</v>
      </c>
      <c r="B52">
        <v>4</v>
      </c>
      <c r="C52">
        <v>1</v>
      </c>
      <c r="D52">
        <v>98</v>
      </c>
      <c r="E52">
        <v>12169.497993262201</v>
      </c>
      <c r="F52">
        <v>222159.600817834</v>
      </c>
      <c r="G52">
        <v>5.4778177258433598E-2</v>
      </c>
    </row>
    <row r="53" spans="1:7" x14ac:dyDescent="0.25">
      <c r="A53" t="s">
        <v>13</v>
      </c>
      <c r="B53">
        <v>5</v>
      </c>
      <c r="C53">
        <v>0</v>
      </c>
      <c r="D53">
        <v>2</v>
      </c>
      <c r="E53">
        <v>736.750810810811</v>
      </c>
      <c r="F53">
        <v>101390.319004598</v>
      </c>
      <c r="G53">
        <v>7.2664808439689404E-3</v>
      </c>
    </row>
    <row r="54" spans="1:7" x14ac:dyDescent="0.25">
      <c r="A54" t="s">
        <v>13</v>
      </c>
      <c r="B54">
        <v>5</v>
      </c>
      <c r="C54">
        <v>1</v>
      </c>
      <c r="D54">
        <v>10</v>
      </c>
      <c r="E54">
        <v>1087.78448658868</v>
      </c>
      <c r="F54">
        <v>174204.967444473</v>
      </c>
      <c r="G54">
        <v>6.2442793827644696E-3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42E72-383E-49FE-8793-43DB00790F90}">
  <dimension ref="A1:D8"/>
  <sheetViews>
    <sheetView tabSelected="1" workbookViewId="0">
      <selection activeCell="K10" sqref="K10"/>
    </sheetView>
  </sheetViews>
  <sheetFormatPr defaultRowHeight="15" x14ac:dyDescent="0.25"/>
  <sheetData>
    <row r="1" spans="1:4" x14ac:dyDescent="0.25">
      <c r="A1" t="s">
        <v>14</v>
      </c>
      <c r="B1" t="s">
        <v>15</v>
      </c>
      <c r="C1" t="s">
        <v>16</v>
      </c>
      <c r="D1" t="s">
        <v>17</v>
      </c>
    </row>
    <row r="2" spans="1:4" x14ac:dyDescent="0.25">
      <c r="A2" t="s">
        <v>11</v>
      </c>
      <c r="B2">
        <f>SUM('generation-metropolitan'!E29:E37)</f>
        <v>524164.63726923778</v>
      </c>
      <c r="C2">
        <f>SUM('generation-metropolitan'!$F$3:$F$11)</f>
        <v>1473848.9924591107</v>
      </c>
      <c r="D2">
        <f>B2/C2</f>
        <v>0.35564337998743772</v>
      </c>
    </row>
    <row r="3" spans="1:4" x14ac:dyDescent="0.25">
      <c r="A3" t="s">
        <v>7</v>
      </c>
      <c r="B3">
        <f>'generation-metropolitan'!E2</f>
        <v>175172.76932841001</v>
      </c>
      <c r="C3">
        <f>SUM('generation-metropolitan'!$F$3:$F$11)</f>
        <v>1473848.9924591107</v>
      </c>
      <c r="D3">
        <f t="shared" ref="D3:D8" si="0">B3/C3</f>
        <v>0.11885394652008073</v>
      </c>
    </row>
    <row r="4" spans="1:4" x14ac:dyDescent="0.25">
      <c r="A4" t="s">
        <v>10</v>
      </c>
      <c r="B4">
        <f>SUM('generation-metropolitan'!E21:E28)</f>
        <v>61303.885971002281</v>
      </c>
      <c r="C4">
        <f>SUM('generation-metropolitan'!$F$3:$F$11)</f>
        <v>1473848.9924591107</v>
      </c>
      <c r="D4">
        <f t="shared" si="0"/>
        <v>4.1594414546307766E-2</v>
      </c>
    </row>
    <row r="5" spans="1:4" x14ac:dyDescent="0.25">
      <c r="A5" t="s">
        <v>9</v>
      </c>
      <c r="B5">
        <f>SUM('generation-metropolitan'!E12:E20)</f>
        <v>467521.02515950054</v>
      </c>
      <c r="C5">
        <f>SUM('generation-metropolitan'!$F$3:$F$11)</f>
        <v>1473848.9924591107</v>
      </c>
      <c r="D5">
        <f t="shared" si="0"/>
        <v>0.31721094057230637</v>
      </c>
    </row>
    <row r="6" spans="1:4" x14ac:dyDescent="0.25">
      <c r="A6" t="s">
        <v>8</v>
      </c>
      <c r="B6">
        <f>SUM('generation-metropolitan'!E3:E11)</f>
        <v>483768.65424244013</v>
      </c>
      <c r="C6">
        <f>SUM('generation-metropolitan'!$F$3:$F$11)</f>
        <v>1473848.9924591107</v>
      </c>
      <c r="D6">
        <f t="shared" si="0"/>
        <v>0.32823488479323393</v>
      </c>
    </row>
    <row r="7" spans="1:4" x14ac:dyDescent="0.25">
      <c r="A7" t="s">
        <v>13</v>
      </c>
      <c r="B7">
        <f>SUM('generation-metropolitan'!E47:E54)</f>
        <v>53875.103406730836</v>
      </c>
      <c r="C7">
        <f>SUM('generation-metropolitan'!$F$3:$F$11)</f>
        <v>1473848.9924591107</v>
      </c>
      <c r="D7">
        <f t="shared" si="0"/>
        <v>3.6554018547612845E-2</v>
      </c>
    </row>
    <row r="8" spans="1:4" x14ac:dyDescent="0.25">
      <c r="A8" t="s">
        <v>12</v>
      </c>
      <c r="B8">
        <f>SUM('generation-metropolitan'!E38:E46)</f>
        <v>69458.538731408</v>
      </c>
      <c r="C8">
        <f>SUM('generation-metropolitan'!$F$3:$F$11)</f>
        <v>1473848.9924591107</v>
      </c>
      <c r="D8">
        <f t="shared" si="0"/>
        <v>4.7127310251450338E-2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2</vt:i4>
      </vt:variant>
    </vt:vector>
  </HeadingPairs>
  <TitlesOfParts>
    <vt:vector size="2" baseType="lpstr">
      <vt:lpstr>generation-metropolitan</vt:lpstr>
      <vt:lpstr>Taul1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Hajduk Petr</cp:lastModifiedBy>
  <dcterms:created xsi:type="dcterms:W3CDTF">2025-02-07T12:51:24Z</dcterms:created>
  <dcterms:modified xsi:type="dcterms:W3CDTF">2025-02-07T13:06:12Z</dcterms:modified>
</cp:coreProperties>
</file>